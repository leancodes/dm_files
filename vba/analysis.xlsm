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SFT10016\Desktop\vba test\analysis\"/>
    </mc:Choice>
  </mc:AlternateContent>
  <xr:revisionPtr revIDLastSave="0" documentId="13_ncr:1_{3BB89495-D20D-487D-AF07-533EB6011537}" xr6:coauthVersionLast="47" xr6:coauthVersionMax="47" xr10:uidLastSave="{00000000-0000-0000-0000-000000000000}"/>
  <bookViews>
    <workbookView xWindow="3660" yWindow="2580" windowWidth="21600" windowHeight="11325" activeTab="1" xr2:uid="{05B1E7E8-831E-40E8-995A-7F2026DB5007}"/>
  </bookViews>
  <sheets>
    <sheet name="2023.10.11" sheetId="18" r:id="rId1"/>
    <sheet name="2023.11.19" sheetId="19" r:id="rId2"/>
    <sheet name="Analysis" sheetId="23" r:id="rId3"/>
    <sheet name="variance_removed" sheetId="24" r:id="rId4"/>
    <sheet name="variance_new" sheetId="2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23" l="1"/>
  <c r="I3" i="23"/>
  <c r="I4" i="23"/>
  <c r="I5" i="23"/>
  <c r="I6" i="23"/>
  <c r="I7" i="23"/>
  <c r="I8" i="23"/>
  <c r="I9" i="23"/>
  <c r="I10" i="23"/>
  <c r="I11" i="23"/>
  <c r="I12" i="23"/>
  <c r="I13" i="23"/>
  <c r="I14" i="23"/>
  <c r="I15" i="23"/>
  <c r="I16" i="23"/>
  <c r="I17" i="23"/>
  <c r="I18" i="23"/>
  <c r="I19" i="23"/>
  <c r="I20" i="23"/>
  <c r="I21" i="23"/>
  <c r="H2" i="23"/>
  <c r="H3" i="23"/>
  <c r="H4" i="23"/>
  <c r="H5" i="23"/>
  <c r="H6" i="23"/>
  <c r="H7" i="23"/>
  <c r="H8" i="23"/>
  <c r="H9" i="23"/>
  <c r="H10" i="23"/>
  <c r="H11" i="23"/>
  <c r="H12" i="23"/>
  <c r="H13" i="23"/>
  <c r="H14" i="23"/>
  <c r="H15" i="23"/>
  <c r="H16" i="23"/>
  <c r="H17" i="23"/>
  <c r="H18" i="23"/>
  <c r="H19" i="23"/>
  <c r="H20" i="23"/>
  <c r="H21" i="23"/>
  <c r="G21" i="23"/>
  <c r="G20" i="23"/>
  <c r="G19" i="23"/>
  <c r="G18" i="23"/>
  <c r="G17" i="23"/>
  <c r="G16" i="23"/>
  <c r="G15" i="23"/>
  <c r="G14" i="23"/>
  <c r="G13" i="23"/>
  <c r="G12" i="23"/>
  <c r="G11" i="23"/>
  <c r="G10" i="23"/>
  <c r="G9" i="23"/>
  <c r="G8" i="23"/>
  <c r="G7" i="23"/>
  <c r="G6" i="23"/>
  <c r="G5" i="23"/>
  <c r="G4" i="23"/>
  <c r="G3" i="23"/>
  <c r="G2" i="23"/>
</calcChain>
</file>

<file path=xl/sharedStrings.xml><?xml version="1.0" encoding="utf-8"?>
<sst xmlns="http://schemas.openxmlformats.org/spreadsheetml/2006/main" count="197" uniqueCount="69">
  <si>
    <t>Test</t>
  </si>
  <si>
    <t>ID</t>
  </si>
  <si>
    <t>Name</t>
  </si>
  <si>
    <t>Age</t>
  </si>
  <si>
    <t>Location</t>
  </si>
  <si>
    <t>Salary</t>
  </si>
  <si>
    <t>MC-7873</t>
  </si>
  <si>
    <t>John Smith</t>
  </si>
  <si>
    <t>New York</t>
  </si>
  <si>
    <t>CO-4313</t>
  </si>
  <si>
    <t>Mary Johnson</t>
  </si>
  <si>
    <t>Los Angeles</t>
  </si>
  <si>
    <t>KE-8763</t>
  </si>
  <si>
    <t>David Lee</t>
  </si>
  <si>
    <t>Chicago</t>
  </si>
  <si>
    <t>XQ-9020</t>
  </si>
  <si>
    <t>Sarah Davis</t>
  </si>
  <si>
    <t>Houston</t>
  </si>
  <si>
    <t>KS-3822</t>
  </si>
  <si>
    <t>James Wilson</t>
  </si>
  <si>
    <t>Miami</t>
  </si>
  <si>
    <t>HQ-4671</t>
  </si>
  <si>
    <t>Emily Brown</t>
  </si>
  <si>
    <t>San Francisco</t>
  </si>
  <si>
    <t>XN-8011</t>
  </si>
  <si>
    <t>Michael Wang</t>
  </si>
  <si>
    <t>Boston</t>
  </si>
  <si>
    <t>KQ-5636</t>
  </si>
  <si>
    <t>Linda Chen</t>
  </si>
  <si>
    <t>Seattle</t>
  </si>
  <si>
    <t>QG-9095</t>
  </si>
  <si>
    <t>Robert Kim</t>
  </si>
  <si>
    <t>Dallas</t>
  </si>
  <si>
    <t>XE-0702</t>
  </si>
  <si>
    <t>Jennifer Liu</t>
  </si>
  <si>
    <t>Atlanta</t>
  </si>
  <si>
    <t>TV-2978</t>
  </si>
  <si>
    <t>Daniel Miller</t>
  </si>
  <si>
    <t>Denver</t>
  </si>
  <si>
    <t>GH-4735</t>
  </si>
  <si>
    <t>Karen Wilson</t>
  </si>
  <si>
    <t>Phoenix</t>
  </si>
  <si>
    <t>CT-5685</t>
  </si>
  <si>
    <t>William Yang</t>
  </si>
  <si>
    <t>Philadelphia</t>
  </si>
  <si>
    <t>MK-0078</t>
  </si>
  <si>
    <t>Susan Lee</t>
  </si>
  <si>
    <t>Detroit</t>
  </si>
  <si>
    <t>AF-5350</t>
  </si>
  <si>
    <t>Joseph Brown</t>
  </si>
  <si>
    <t>Minneapolis</t>
  </si>
  <si>
    <t>IV-2498</t>
  </si>
  <si>
    <t>Jessica Park</t>
  </si>
  <si>
    <t>Portland</t>
  </si>
  <si>
    <t>YE-4249</t>
  </si>
  <si>
    <t>Richard Davis</t>
  </si>
  <si>
    <t>Charlotte</t>
  </si>
  <si>
    <t>IW-6709</t>
  </si>
  <si>
    <t>Lisa Kim</t>
  </si>
  <si>
    <t>San Diego</t>
  </si>
  <si>
    <t>UF-1349</t>
  </si>
  <si>
    <t>Christopher Ng</t>
  </si>
  <si>
    <t>Nashville</t>
  </si>
  <si>
    <t>GT-5763</t>
  </si>
  <si>
    <t>Amanda White</t>
  </si>
  <si>
    <t>Columbus</t>
  </si>
  <si>
    <t>2023.11.19_Salary</t>
  </si>
  <si>
    <t>Check1</t>
  </si>
  <si>
    <t>Check2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</si>
</sst>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$&quot;#,##0_);[Red]\(&quot;$&quot;#,##0\)"/>
  </numFmts>
  <fonts count="1" x14ac:knownFonts="1"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left"/>
    </xf>
    <xf numFmtId="6" fontId="0" fillId="0" borderId="0" xfId="0" applyNumberForma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24FDD-5B86-47A6-86FC-8DA07FA158FD}">
  <sheetPr codeName="Sheet18"/>
  <dimension ref="A1:F21"/>
  <sheetViews>
    <sheetView workbookViewId="0">
      <selection activeCell="E16" sqref="E16"/>
    </sheetView>
  </sheetViews>
  <sheetFormatPr defaultColWidth="9.28515625" defaultRowHeight="12.75" x14ac:dyDescent="0.2"/>
  <cols>
    <col min="1" max="2" width="12.28515625" customWidth="1"/>
    <col min="3" max="3" width="13.42578125" bestFit="1" customWidth="1"/>
    <col min="4" max="6" width="12.28515625" customWidth="1"/>
  </cols>
  <sheetData>
    <row r="1" spans="1:6" x14ac:dyDescent="0.2">
      <c r="A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">
      <c r="A2" t="s">
        <v>6</v>
      </c>
      <c r="B2" s="1">
        <v>1</v>
      </c>
      <c r="C2" s="1" t="s">
        <v>7</v>
      </c>
      <c r="D2" s="1">
        <v>32</v>
      </c>
      <c r="E2" s="1" t="s">
        <v>8</v>
      </c>
      <c r="F2" s="2">
        <v>60000</v>
      </c>
    </row>
    <row r="3" spans="1:6" x14ac:dyDescent="0.2">
      <c r="A3" t="s">
        <v>9</v>
      </c>
      <c r="B3" s="1">
        <v>2</v>
      </c>
      <c r="C3" s="1" t="s">
        <v>10</v>
      </c>
      <c r="D3" s="1">
        <v>28</v>
      </c>
      <c r="E3" s="1" t="s">
        <v>11</v>
      </c>
      <c r="F3" s="2">
        <v>55500</v>
      </c>
    </row>
    <row r="4" spans="1:6" x14ac:dyDescent="0.2">
      <c r="A4" t="s">
        <v>12</v>
      </c>
      <c r="B4" s="1">
        <v>3</v>
      </c>
      <c r="C4" s="1" t="s">
        <v>13</v>
      </c>
      <c r="D4" s="1">
        <v>35</v>
      </c>
      <c r="E4" s="1" t="s">
        <v>14</v>
      </c>
      <c r="F4" s="2">
        <v>65800</v>
      </c>
    </row>
    <row r="5" spans="1:6" x14ac:dyDescent="0.2">
      <c r="A5" t="s">
        <v>15</v>
      </c>
      <c r="B5" s="1">
        <v>4</v>
      </c>
      <c r="C5" s="1" t="s">
        <v>16</v>
      </c>
      <c r="D5" s="1">
        <v>30</v>
      </c>
      <c r="E5" s="1" t="s">
        <v>17</v>
      </c>
      <c r="F5" s="2">
        <v>58200</v>
      </c>
    </row>
    <row r="6" spans="1:6" x14ac:dyDescent="0.2">
      <c r="A6" t="s">
        <v>18</v>
      </c>
      <c r="B6" s="1">
        <v>5</v>
      </c>
      <c r="C6" s="1" t="s">
        <v>19</v>
      </c>
      <c r="D6" s="1">
        <v>29</v>
      </c>
      <c r="E6" s="1" t="s">
        <v>20</v>
      </c>
      <c r="F6" s="2">
        <v>54750</v>
      </c>
    </row>
    <row r="7" spans="1:6" x14ac:dyDescent="0.2">
      <c r="A7" t="s">
        <v>21</v>
      </c>
      <c r="B7" s="1">
        <v>6</v>
      </c>
      <c r="C7" s="1" t="s">
        <v>22</v>
      </c>
      <c r="D7" s="1">
        <v>31</v>
      </c>
      <c r="E7" s="1" t="s">
        <v>23</v>
      </c>
      <c r="F7" s="2">
        <v>62400</v>
      </c>
    </row>
    <row r="8" spans="1:6" x14ac:dyDescent="0.2">
      <c r="A8" t="s">
        <v>24</v>
      </c>
      <c r="B8" s="1">
        <v>7</v>
      </c>
      <c r="C8" s="1" t="s">
        <v>25</v>
      </c>
      <c r="D8" s="1">
        <v>33</v>
      </c>
      <c r="E8" s="1" t="s">
        <v>26</v>
      </c>
      <c r="F8" s="2">
        <v>63500</v>
      </c>
    </row>
    <row r="9" spans="1:6" x14ac:dyDescent="0.2">
      <c r="A9" t="s">
        <v>27</v>
      </c>
      <c r="B9" s="1">
        <v>8</v>
      </c>
      <c r="C9" s="1" t="s">
        <v>28</v>
      </c>
      <c r="D9" s="1">
        <v>27</v>
      </c>
      <c r="E9" s="1" t="s">
        <v>29</v>
      </c>
      <c r="F9" s="2">
        <v>56000</v>
      </c>
    </row>
    <row r="10" spans="1:6" x14ac:dyDescent="0.2">
      <c r="A10" t="s">
        <v>30</v>
      </c>
      <c r="B10" s="1">
        <v>9</v>
      </c>
      <c r="C10" s="1" t="s">
        <v>31</v>
      </c>
      <c r="D10" s="1">
        <v>34</v>
      </c>
      <c r="E10" s="1" t="s">
        <v>32</v>
      </c>
      <c r="F10" s="2">
        <v>59900</v>
      </c>
    </row>
    <row r="11" spans="1:6" x14ac:dyDescent="0.2">
      <c r="A11" t="s">
        <v>33</v>
      </c>
      <c r="B11" s="1">
        <v>10</v>
      </c>
      <c r="C11" s="1" t="s">
        <v>34</v>
      </c>
      <c r="D11" s="1">
        <v>26</v>
      </c>
      <c r="E11" s="1" t="s">
        <v>35</v>
      </c>
      <c r="F11" s="2">
        <v>52800</v>
      </c>
    </row>
    <row r="12" spans="1:6" x14ac:dyDescent="0.2">
      <c r="A12" t="s">
        <v>36</v>
      </c>
      <c r="B12" s="1">
        <v>11</v>
      </c>
      <c r="C12" s="1" t="s">
        <v>37</v>
      </c>
      <c r="D12" s="1">
        <v>36</v>
      </c>
      <c r="E12" s="1" t="s">
        <v>38</v>
      </c>
      <c r="F12" s="2">
        <v>66200</v>
      </c>
    </row>
    <row r="13" spans="1:6" x14ac:dyDescent="0.2">
      <c r="A13" t="s">
        <v>39</v>
      </c>
      <c r="B13" s="1">
        <v>12</v>
      </c>
      <c r="C13" s="1" t="s">
        <v>40</v>
      </c>
      <c r="D13" s="1">
        <v>29</v>
      </c>
      <c r="E13" s="1" t="s">
        <v>41</v>
      </c>
      <c r="F13" s="2">
        <v>55900</v>
      </c>
    </row>
    <row r="14" spans="1:6" x14ac:dyDescent="0.2">
      <c r="A14" t="s">
        <v>42</v>
      </c>
      <c r="B14" s="1">
        <v>13</v>
      </c>
      <c r="C14" s="1" t="s">
        <v>43</v>
      </c>
      <c r="D14" s="1">
        <v>32</v>
      </c>
      <c r="E14" s="1" t="s">
        <v>44</v>
      </c>
      <c r="F14" s="2">
        <v>61300</v>
      </c>
    </row>
    <row r="15" spans="1:6" x14ac:dyDescent="0.2">
      <c r="A15" t="s">
        <v>45</v>
      </c>
      <c r="B15" s="1">
        <v>14</v>
      </c>
      <c r="C15" s="1" t="s">
        <v>46</v>
      </c>
      <c r="D15" s="1">
        <v>28</v>
      </c>
      <c r="E15" s="1" t="s">
        <v>47</v>
      </c>
      <c r="F15" s="2">
        <v>57400</v>
      </c>
    </row>
    <row r="16" spans="1:6" x14ac:dyDescent="0.2">
      <c r="A16" t="s">
        <v>48</v>
      </c>
      <c r="B16" s="1">
        <v>15</v>
      </c>
      <c r="C16" s="1" t="s">
        <v>49</v>
      </c>
      <c r="D16" s="1">
        <v>30</v>
      </c>
      <c r="E16" s="1" t="s">
        <v>50</v>
      </c>
      <c r="F16" s="2">
        <v>58900</v>
      </c>
    </row>
    <row r="17" spans="1:6" x14ac:dyDescent="0.2">
      <c r="A17" t="s">
        <v>51</v>
      </c>
      <c r="B17" s="1">
        <v>16</v>
      </c>
      <c r="C17" s="1" t="s">
        <v>52</v>
      </c>
      <c r="D17" s="1">
        <v>27</v>
      </c>
      <c r="E17" s="1" t="s">
        <v>53</v>
      </c>
      <c r="F17" s="2">
        <v>55600</v>
      </c>
    </row>
    <row r="18" spans="1:6" x14ac:dyDescent="0.2">
      <c r="A18" t="s">
        <v>54</v>
      </c>
      <c r="B18" s="1">
        <v>17</v>
      </c>
      <c r="C18" s="1" t="s">
        <v>55</v>
      </c>
      <c r="D18" s="1">
        <v>35</v>
      </c>
      <c r="E18" s="1" t="s">
        <v>56</v>
      </c>
      <c r="F18" s="2">
        <v>64500</v>
      </c>
    </row>
    <row r="19" spans="1:6" x14ac:dyDescent="0.2">
      <c r="A19" t="s">
        <v>57</v>
      </c>
      <c r="B19" s="1">
        <v>18</v>
      </c>
      <c r="C19" s="1" t="s">
        <v>58</v>
      </c>
      <c r="D19" s="1">
        <v>31</v>
      </c>
      <c r="E19" s="1" t="s">
        <v>59</v>
      </c>
      <c r="F19" s="2">
        <v>61800</v>
      </c>
    </row>
    <row r="20" spans="1:6" x14ac:dyDescent="0.2">
      <c r="A20" t="s">
        <v>60</v>
      </c>
      <c r="B20" s="1">
        <v>19</v>
      </c>
      <c r="C20" s="1" t="s">
        <v>61</v>
      </c>
      <c r="D20" s="1">
        <v>33</v>
      </c>
      <c r="E20" s="1" t="s">
        <v>62</v>
      </c>
      <c r="F20" s="2">
        <v>63200</v>
      </c>
    </row>
    <row r="21" spans="1:6" x14ac:dyDescent="0.2">
      <c r="A21" t="s">
        <v>63</v>
      </c>
      <c r="B21" s="1">
        <v>20</v>
      </c>
      <c r="C21" s="1" t="s">
        <v>64</v>
      </c>
      <c r="D21" s="1">
        <v>28</v>
      </c>
      <c r="E21" s="1" t="s">
        <v>65</v>
      </c>
      <c r="F21" s="2">
        <v>56500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96AD8-BD89-4472-9C66-4C2D42B7A346}">
  <sheetPr codeName="Sheet19"/>
  <dimension ref="A1:F19"/>
  <sheetViews>
    <sheetView tabSelected="1" workbookViewId="0"/>
  </sheetViews>
  <sheetFormatPr defaultColWidth="9.28515625" defaultRowHeight="12.75" x14ac:dyDescent="0.2"/>
  <cols>
    <col min="1" max="2" width="12.28515625" customWidth="1"/>
    <col min="3" max="3" width="13.42578125" bestFit="1" customWidth="1"/>
    <col min="4" max="6" width="12.28515625" customWidth="1"/>
  </cols>
  <sheetData>
    <row r="1" spans="1:6" x14ac:dyDescent="0.2">
      <c r="A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">
      <c r="A2" t="s">
        <v>6</v>
      </c>
      <c r="B2" s="1">
        <v>1</v>
      </c>
      <c r="C2" s="1" t="s">
        <v>7</v>
      </c>
      <c r="D2" s="1">
        <v>32</v>
      </c>
      <c r="E2" s="1" t="s">
        <v>8</v>
      </c>
      <c r="F2" s="2">
        <v>60000</v>
      </c>
    </row>
    <row r="3" spans="1:6" x14ac:dyDescent="0.2">
      <c r="A3" t="s">
        <v>9</v>
      </c>
      <c r="B3" s="1">
        <v>2</v>
      </c>
      <c r="C3" s="1" t="s">
        <v>10</v>
      </c>
      <c r="D3" s="1">
        <v>28</v>
      </c>
      <c r="E3" s="1" t="s">
        <v>11</v>
      </c>
      <c r="F3" s="2">
        <v>55500</v>
      </c>
    </row>
    <row r="4" spans="1:6" x14ac:dyDescent="0.2">
      <c r="A4" t="s">
        <v>12</v>
      </c>
      <c r="B4" s="1">
        <v>3</v>
      </c>
      <c r="C4" s="1" t="s">
        <v>13</v>
      </c>
      <c r="D4" s="1">
        <v>35</v>
      </c>
      <c r="E4" s="1" t="s">
        <v>14</v>
      </c>
      <c r="F4" s="2">
        <v>65800</v>
      </c>
    </row>
    <row r="5" spans="1:6" x14ac:dyDescent="0.2">
      <c r="A5" t="s">
        <v>15</v>
      </c>
      <c r="B5" s="1">
        <v>4</v>
      </c>
      <c r="C5" s="1" t="s">
        <v>16</v>
      </c>
      <c r="D5" s="1">
        <v>30</v>
      </c>
      <c r="E5" s="1" t="s">
        <v>17</v>
      </c>
      <c r="F5" s="2">
        <v>58200</v>
      </c>
    </row>
    <row r="6" spans="1:6" x14ac:dyDescent="0.2">
      <c r="A6" t="s">
        <v>18</v>
      </c>
      <c r="B6" s="1">
        <v>5</v>
      </c>
      <c r="C6" s="1" t="s">
        <v>19</v>
      </c>
      <c r="D6" s="1">
        <v>29</v>
      </c>
      <c r="E6" s="1" t="s">
        <v>20</v>
      </c>
      <c r="F6" s="2">
        <v>54750</v>
      </c>
    </row>
    <row r="7" spans="1:6" x14ac:dyDescent="0.2">
      <c r="A7" t="s">
        <v>21</v>
      </c>
      <c r="B7" s="1">
        <v>6</v>
      </c>
      <c r="C7" s="1" t="s">
        <v>22</v>
      </c>
      <c r="D7" s="1">
        <v>31</v>
      </c>
      <c r="E7" s="1" t="s">
        <v>23</v>
      </c>
      <c r="F7" s="2">
        <v>62400</v>
      </c>
    </row>
    <row r="8" spans="1:6" x14ac:dyDescent="0.2">
      <c r="A8" t="s">
        <v>24</v>
      </c>
      <c r="B8" s="1">
        <v>7</v>
      </c>
      <c r="C8" s="1" t="s">
        <v>25</v>
      </c>
      <c r="D8" s="1">
        <v>33</v>
      </c>
      <c r="E8" s="1" t="s">
        <v>26</v>
      </c>
      <c r="F8" s="2">
        <v>55900</v>
      </c>
    </row>
    <row r="9" spans="1:6" x14ac:dyDescent="0.2">
      <c r="A9" t="s">
        <v>27</v>
      </c>
      <c r="B9" s="1">
        <v>8</v>
      </c>
      <c r="C9" s="1" t="s">
        <v>28</v>
      </c>
      <c r="D9" s="1">
        <v>27</v>
      </c>
      <c r="E9" s="1" t="s">
        <v>29</v>
      </c>
      <c r="F9" s="2">
        <v>56000</v>
      </c>
    </row>
    <row r="10" spans="1:6" x14ac:dyDescent="0.2">
      <c r="A10" t="s">
        <v>30</v>
      </c>
      <c r="B10" s="1">
        <v>9</v>
      </c>
      <c r="C10" s="1" t="s">
        <v>31</v>
      </c>
      <c r="D10" s="1">
        <v>34</v>
      </c>
      <c r="E10" s="1" t="s">
        <v>32</v>
      </c>
      <c r="F10" s="2">
        <v>55900</v>
      </c>
    </row>
    <row r="11" spans="1:6" x14ac:dyDescent="0.2">
      <c r="A11" t="s">
        <v>33</v>
      </c>
      <c r="B11" s="1">
        <v>10</v>
      </c>
      <c r="C11" s="1" t="s">
        <v>34</v>
      </c>
      <c r="D11" s="1">
        <v>26</v>
      </c>
      <c r="E11" s="1" t="s">
        <v>35</v>
      </c>
      <c r="F11" s="2">
        <v>52800</v>
      </c>
    </row>
    <row r="12" spans="1:6" x14ac:dyDescent="0.2">
      <c r="A12" t="s">
        <v>36</v>
      </c>
      <c r="B12" s="1">
        <v>11</v>
      </c>
      <c r="C12" s="1" t="s">
        <v>37</v>
      </c>
      <c r="D12" s="1">
        <v>36</v>
      </c>
      <c r="E12" s="1" t="s">
        <v>38</v>
      </c>
      <c r="F12" s="2">
        <v>55900</v>
      </c>
    </row>
    <row r="13" spans="1:6" x14ac:dyDescent="0.2">
      <c r="A13" t="s">
        <v>39</v>
      </c>
      <c r="B13" s="1">
        <v>12</v>
      </c>
      <c r="C13" s="1" t="s">
        <v>40</v>
      </c>
      <c r="D13" s="1">
        <v>29</v>
      </c>
      <c r="E13" s="1" t="s">
        <v>41</v>
      </c>
      <c r="F13" s="2">
        <v>55900</v>
      </c>
    </row>
    <row r="14" spans="1:6" x14ac:dyDescent="0.2">
      <c r="A14" t="s">
        <v>42</v>
      </c>
      <c r="B14" s="1">
        <v>13</v>
      </c>
      <c r="C14" s="1" t="s">
        <v>43</v>
      </c>
      <c r="D14" s="1">
        <v>32</v>
      </c>
      <c r="E14" s="1" t="s">
        <v>44</v>
      </c>
      <c r="F14" s="2">
        <v>61300</v>
      </c>
    </row>
    <row r="15" spans="1:6" x14ac:dyDescent="0.2">
      <c r="A15" t="s">
        <v>45</v>
      </c>
      <c r="B15" s="1">
        <v>14</v>
      </c>
      <c r="C15" s="1" t="s">
        <v>46</v>
      </c>
      <c r="D15" s="1">
        <v>28</v>
      </c>
      <c r="E15" s="1" t="s">
        <v>47</v>
      </c>
      <c r="F15" s="2">
        <v>57400</v>
      </c>
    </row>
    <row r="16" spans="1:6" x14ac:dyDescent="0.2">
      <c r="A16" t="s">
        <v>48</v>
      </c>
      <c r="B16" s="1">
        <v>15</v>
      </c>
      <c r="C16" s="1" t="s">
        <v>49</v>
      </c>
      <c r="D16" s="1">
        <v>30</v>
      </c>
      <c r="E16" s="1" t="s">
        <v>50</v>
      </c>
      <c r="F16" s="2">
        <v>58900</v>
      </c>
    </row>
    <row r="17" spans="1:6" x14ac:dyDescent="0.2">
      <c r="A17" t="s">
        <v>54</v>
      </c>
      <c r="B17" s="1">
        <v>17</v>
      </c>
      <c r="C17" s="1" t="s">
        <v>55</v>
      </c>
      <c r="D17" s="1">
        <v>35</v>
      </c>
      <c r="E17" s="1" t="s">
        <v>56</v>
      </c>
      <c r="F17" s="2">
        <v>64500</v>
      </c>
    </row>
    <row r="18" spans="1:6" x14ac:dyDescent="0.2">
      <c r="A18" t="s">
        <v>57</v>
      </c>
      <c r="B18" s="1">
        <v>18</v>
      </c>
      <c r="C18" s="1" t="s">
        <v>58</v>
      </c>
      <c r="D18" s="1">
        <v>31</v>
      </c>
      <c r="E18" s="1" t="s">
        <v>59</v>
      </c>
      <c r="F18" s="2">
        <v>61800</v>
      </c>
    </row>
    <row r="19" spans="1:6" x14ac:dyDescent="0.2">
      <c r="A19" t="s">
        <v>60</v>
      </c>
      <c r="B19" s="1">
        <v>19</v>
      </c>
      <c r="C19" s="1" t="s">
        <v>61</v>
      </c>
      <c r="D19" s="1">
        <v>33</v>
      </c>
      <c r="E19" s="1" t="s">
        <v>62</v>
      </c>
      <c r="F19" s="2">
        <v>63200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E070A6-5788-4877-B77D-D8603979A55D}">
  <sheetPr codeName="Sheet23"/>
  <dimension ref="A1:I21"/>
  <sheetViews>
    <sheetView workbookViewId="0"/>
  </sheetViews>
  <sheetFormatPr defaultRowHeight="12.75" x14ac:dyDescent="0.2"/>
  <cols>
    <col min="1" max="2" width="12.28515625" customWidth="1"/>
    <col min="3" max="3" width="13.42578125" bestFit="1" customWidth="1"/>
    <col min="4" max="6" width="12.28515625" customWidth="1"/>
  </cols>
  <sheetData>
    <row r="1" spans="1:9" x14ac:dyDescent="0.2">
      <c r="A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t="s">
        <v>66</v>
      </c>
      <c r="H1" t="s">
        <v>67</v>
      </c>
      <c r="I1" t="s">
        <v>68</v>
      </c>
    </row>
    <row r="2" spans="1:9" x14ac:dyDescent="0.2">
      <c r="A2" t="s">
        <v>6</v>
      </c>
      <c r="B2" s="1">
        <v>1</v>
      </c>
      <c r="C2" s="1" t="s">
        <v>7</v>
      </c>
      <c r="D2" s="1">
        <v>32</v>
      </c>
      <c r="E2" s="1" t="s">
        <v>8</v>
      </c>
      <c r="F2" s="2">
        <v>60000</v>
      </c>
      <c r="G2">
        <f>IFERROR(VLOOKUP(A2, '2023.11.19'!$A$2:$F$21, 6, FALSE), "")</f>
        <v>60000</v>
      </c>
      <c r="H2" t="str">
        <f t="shared" ref="H2:H21" si="0">IF(OR(AND(ISNUMBER(FIND("MC-7873", A2)), NOT(ISNUMBER(FIND("MC-7873", B2)))), AND(NOT(ISNUMBER(FIND("MC-7873", A2))), ISNUMBER(FIND("MC-7873", B2)))), "Flag", "Good")</f>
        <v>Flag</v>
      </c>
      <c r="I2" t="str">
        <f t="shared" ref="I2:I21" si="1">IF(AND(ISNUMBER(FIND("XYZ", A2)), NOT(ISNUMBER(FIND("XYZ", B2)))), "Flag", "Good")</f>
        <v>Good</v>
      </c>
    </row>
    <row r="3" spans="1:9" x14ac:dyDescent="0.2">
      <c r="A3" t="s">
        <v>9</v>
      </c>
      <c r="B3" s="1">
        <v>2</v>
      </c>
      <c r="C3" s="1" t="s">
        <v>10</v>
      </c>
      <c r="D3" s="1">
        <v>28</v>
      </c>
      <c r="E3" s="1" t="s">
        <v>11</v>
      </c>
      <c r="F3" s="2">
        <v>55500</v>
      </c>
      <c r="G3">
        <f>IFERROR(VLOOKUP(A3, '2023.11.19'!$A$2:$F$21, 6, FALSE), "")</f>
        <v>55500</v>
      </c>
      <c r="H3" t="str">
        <f t="shared" si="0"/>
        <v>Good</v>
      </c>
      <c r="I3" t="str">
        <f t="shared" si="1"/>
        <v>Good</v>
      </c>
    </row>
    <row r="4" spans="1:9" x14ac:dyDescent="0.2">
      <c r="A4" t="s">
        <v>12</v>
      </c>
      <c r="B4" s="1">
        <v>3</v>
      </c>
      <c r="C4" s="1" t="s">
        <v>13</v>
      </c>
      <c r="D4" s="1">
        <v>35</v>
      </c>
      <c r="E4" s="1" t="s">
        <v>14</v>
      </c>
      <c r="F4" s="2">
        <v>65800</v>
      </c>
      <c r="G4">
        <f>IFERROR(VLOOKUP(A4, '2023.11.19'!$A$2:$F$21, 6, FALSE), "")</f>
        <v>65800</v>
      </c>
      <c r="H4" t="str">
        <f t="shared" si="0"/>
        <v>Good</v>
      </c>
      <c r="I4" t="str">
        <f t="shared" si="1"/>
        <v>Good</v>
      </c>
    </row>
    <row r="5" spans="1:9" x14ac:dyDescent="0.2">
      <c r="A5" t="s">
        <v>15</v>
      </c>
      <c r="B5" s="1">
        <v>4</v>
      </c>
      <c r="C5" s="1" t="s">
        <v>16</v>
      </c>
      <c r="D5" s="1">
        <v>30</v>
      </c>
      <c r="E5" s="1" t="s">
        <v>17</v>
      </c>
      <c r="F5" s="2">
        <v>58200</v>
      </c>
      <c r="G5">
        <f>IFERROR(VLOOKUP(A5, '2023.11.19'!$A$2:$F$21, 6, FALSE), "")</f>
        <v>58200</v>
      </c>
      <c r="H5" t="str">
        <f t="shared" si="0"/>
        <v>Good</v>
      </c>
      <c r="I5" t="str">
        <f t="shared" si="1"/>
        <v>Good</v>
      </c>
    </row>
    <row r="6" spans="1:9" x14ac:dyDescent="0.2">
      <c r="A6" t="s">
        <v>18</v>
      </c>
      <c r="B6" s="1">
        <v>5</v>
      </c>
      <c r="C6" s="1" t="s">
        <v>19</v>
      </c>
      <c r="D6" s="1">
        <v>29</v>
      </c>
      <c r="E6" s="1" t="s">
        <v>20</v>
      </c>
      <c r="F6" s="2">
        <v>54750</v>
      </c>
      <c r="G6">
        <f>IFERROR(VLOOKUP(A6, '2023.11.19'!$A$2:$F$21, 6, FALSE), "")</f>
        <v>54750</v>
      </c>
      <c r="H6" t="str">
        <f t="shared" si="0"/>
        <v>Good</v>
      </c>
      <c r="I6" t="str">
        <f t="shared" si="1"/>
        <v>Good</v>
      </c>
    </row>
    <row r="7" spans="1:9" x14ac:dyDescent="0.2">
      <c r="A7" t="s">
        <v>21</v>
      </c>
      <c r="B7" s="1">
        <v>6</v>
      </c>
      <c r="C7" s="1" t="s">
        <v>22</v>
      </c>
      <c r="D7" s="1">
        <v>31</v>
      </c>
      <c r="E7" s="1" t="s">
        <v>23</v>
      </c>
      <c r="F7" s="2">
        <v>62400</v>
      </c>
      <c r="G7">
        <f>IFERROR(VLOOKUP(A7, '2023.11.19'!$A$2:$F$21, 6, FALSE), "")</f>
        <v>62400</v>
      </c>
      <c r="H7" t="str">
        <f t="shared" si="0"/>
        <v>Good</v>
      </c>
      <c r="I7" t="str">
        <f t="shared" si="1"/>
        <v>Good</v>
      </c>
    </row>
    <row r="8" spans="1:9" x14ac:dyDescent="0.2">
      <c r="A8" t="s">
        <v>24</v>
      </c>
      <c r="B8" s="1">
        <v>7</v>
      </c>
      <c r="C8" s="1" t="s">
        <v>25</v>
      </c>
      <c r="D8" s="1">
        <v>33</v>
      </c>
      <c r="E8" s="1" t="s">
        <v>26</v>
      </c>
      <c r="F8" s="2">
        <v>63500</v>
      </c>
      <c r="G8">
        <f>IFERROR(VLOOKUP(A8, '2023.11.19'!$A$2:$F$21, 6, FALSE), "")</f>
        <v>55900</v>
      </c>
      <c r="H8" t="str">
        <f t="shared" si="0"/>
        <v>Good</v>
      </c>
      <c r="I8" t="str">
        <f t="shared" si="1"/>
        <v>Good</v>
      </c>
    </row>
    <row r="9" spans="1:9" x14ac:dyDescent="0.2">
      <c r="A9" t="s">
        <v>27</v>
      </c>
      <c r="B9" s="1">
        <v>8</v>
      </c>
      <c r="C9" s="1" t="s">
        <v>28</v>
      </c>
      <c r="D9" s="1">
        <v>27</v>
      </c>
      <c r="E9" s="1" t="s">
        <v>29</v>
      </c>
      <c r="F9" s="2">
        <v>56000</v>
      </c>
      <c r="G9">
        <f>IFERROR(VLOOKUP(A9, '2023.11.19'!$A$2:$F$21, 6, FALSE), "")</f>
        <v>56000</v>
      </c>
      <c r="H9" t="str">
        <f t="shared" si="0"/>
        <v>Good</v>
      </c>
      <c r="I9" t="str">
        <f t="shared" si="1"/>
        <v>Good</v>
      </c>
    </row>
    <row r="10" spans="1:9" x14ac:dyDescent="0.2">
      <c r="A10" t="s">
        <v>30</v>
      </c>
      <c r="B10" s="1">
        <v>9</v>
      </c>
      <c r="C10" s="1" t="s">
        <v>31</v>
      </c>
      <c r="D10" s="1">
        <v>34</v>
      </c>
      <c r="E10" s="1" t="s">
        <v>32</v>
      </c>
      <c r="F10" s="2">
        <v>59900</v>
      </c>
      <c r="G10">
        <f>IFERROR(VLOOKUP(A10, '2023.11.19'!$A$2:$F$21, 6, FALSE), "")</f>
        <v>55900</v>
      </c>
      <c r="H10" t="str">
        <f t="shared" si="0"/>
        <v>Good</v>
      </c>
      <c r="I10" t="str">
        <f t="shared" si="1"/>
        <v>Good</v>
      </c>
    </row>
    <row r="11" spans="1:9" x14ac:dyDescent="0.2">
      <c r="A11" t="s">
        <v>33</v>
      </c>
      <c r="B11" s="1">
        <v>10</v>
      </c>
      <c r="C11" s="1" t="s">
        <v>34</v>
      </c>
      <c r="D11" s="1">
        <v>26</v>
      </c>
      <c r="E11" s="1" t="s">
        <v>35</v>
      </c>
      <c r="F11" s="2">
        <v>52800</v>
      </c>
      <c r="G11">
        <f>IFERROR(VLOOKUP(A11, '2023.11.19'!$A$2:$F$21, 6, FALSE), "")</f>
        <v>52800</v>
      </c>
      <c r="H11" t="str">
        <f t="shared" si="0"/>
        <v>Good</v>
      </c>
      <c r="I11" t="str">
        <f t="shared" si="1"/>
        <v>Good</v>
      </c>
    </row>
    <row r="12" spans="1:9" x14ac:dyDescent="0.2">
      <c r="A12" t="s">
        <v>36</v>
      </c>
      <c r="B12" s="1">
        <v>11</v>
      </c>
      <c r="C12" s="1" t="s">
        <v>37</v>
      </c>
      <c r="D12" s="1">
        <v>36</v>
      </c>
      <c r="E12" s="1" t="s">
        <v>38</v>
      </c>
      <c r="F12" s="2">
        <v>66200</v>
      </c>
      <c r="G12">
        <f>IFERROR(VLOOKUP(A12, '2023.11.19'!$A$2:$F$21, 6, FALSE), "")</f>
        <v>55900</v>
      </c>
      <c r="H12" t="str">
        <f t="shared" si="0"/>
        <v>Good</v>
      </c>
      <c r="I12" t="str">
        <f t="shared" si="1"/>
        <v>Good</v>
      </c>
    </row>
    <row r="13" spans="1:9" x14ac:dyDescent="0.2">
      <c r="A13" t="s">
        <v>39</v>
      </c>
      <c r="B13" s="1">
        <v>12</v>
      </c>
      <c r="C13" s="1" t="s">
        <v>40</v>
      </c>
      <c r="D13" s="1">
        <v>29</v>
      </c>
      <c r="E13" s="1" t="s">
        <v>41</v>
      </c>
      <c r="F13" s="2">
        <v>55900</v>
      </c>
      <c r="G13">
        <f>IFERROR(VLOOKUP(A13, '2023.11.19'!$A$2:$F$21, 6, FALSE), "")</f>
        <v>55900</v>
      </c>
      <c r="H13" t="str">
        <f t="shared" si="0"/>
        <v>Good</v>
      </c>
      <c r="I13" t="str">
        <f t="shared" si="1"/>
        <v>Good</v>
      </c>
    </row>
    <row r="14" spans="1:9" x14ac:dyDescent="0.2">
      <c r="A14" t="s">
        <v>42</v>
      </c>
      <c r="B14" s="1">
        <v>13</v>
      </c>
      <c r="C14" s="1" t="s">
        <v>43</v>
      </c>
      <c r="D14" s="1">
        <v>32</v>
      </c>
      <c r="E14" s="1" t="s">
        <v>44</v>
      </c>
      <c r="F14" s="2">
        <v>61300</v>
      </c>
      <c r="G14">
        <f>IFERROR(VLOOKUP(A14, '2023.11.19'!$A$2:$F$21, 6, FALSE), "")</f>
        <v>61300</v>
      </c>
      <c r="H14" t="str">
        <f t="shared" si="0"/>
        <v>Good</v>
      </c>
      <c r="I14" t="str">
        <f t="shared" si="1"/>
        <v>Good</v>
      </c>
    </row>
    <row r="15" spans="1:9" x14ac:dyDescent="0.2">
      <c r="A15" t="s">
        <v>45</v>
      </c>
      <c r="B15" s="1">
        <v>14</v>
      </c>
      <c r="C15" s="1" t="s">
        <v>46</v>
      </c>
      <c r="D15" s="1">
        <v>28</v>
      </c>
      <c r="E15" s="1" t="s">
        <v>47</v>
      </c>
      <c r="F15" s="2">
        <v>57400</v>
      </c>
      <c r="G15">
        <f>IFERROR(VLOOKUP(A15, '2023.11.19'!$A$2:$F$21, 6, FALSE), "")</f>
        <v>57400</v>
      </c>
      <c r="H15" t="str">
        <f t="shared" si="0"/>
        <v>Good</v>
      </c>
      <c r="I15" t="str">
        <f t="shared" si="1"/>
        <v>Good</v>
      </c>
    </row>
    <row r="16" spans="1:9" x14ac:dyDescent="0.2">
      <c r="A16" t="s">
        <v>48</v>
      </c>
      <c r="B16" s="1">
        <v>15</v>
      </c>
      <c r="C16" s="1" t="s">
        <v>49</v>
      </c>
      <c r="D16" s="1">
        <v>30</v>
      </c>
      <c r="E16" s="1" t="s">
        <v>50</v>
      </c>
      <c r="F16" s="2">
        <v>58900</v>
      </c>
      <c r="G16">
        <f>IFERROR(VLOOKUP(A16, '2023.11.19'!$A$2:$F$21, 6, FALSE), "")</f>
        <v>58900</v>
      </c>
      <c r="H16" t="str">
        <f t="shared" si="0"/>
        <v>Good</v>
      </c>
      <c r="I16" t="str">
        <f t="shared" si="1"/>
        <v>Good</v>
      </c>
    </row>
    <row r="17" spans="1:9" x14ac:dyDescent="0.2">
      <c r="A17" t="s">
        <v>51</v>
      </c>
      <c r="B17" s="1">
        <v>16</v>
      </c>
      <c r="C17" s="1" t="s">
        <v>52</v>
      </c>
      <c r="D17" s="1">
        <v>27</v>
      </c>
      <c r="E17" s="1" t="s">
        <v>53</v>
      </c>
      <c r="F17" s="2">
        <v>55600</v>
      </c>
      <c r="G17" t="str">
        <f>IFERROR(VLOOKUP(A17, '2023.11.19'!$A$2:$F$21, 6, FALSE), "")</f>
        <v/>
      </c>
      <c r="H17" t="str">
        <f t="shared" si="0"/>
        <v>Good</v>
      </c>
      <c r="I17" t="str">
        <f t="shared" si="1"/>
        <v>Good</v>
      </c>
    </row>
    <row r="18" spans="1:9" x14ac:dyDescent="0.2">
      <c r="A18" t="s">
        <v>54</v>
      </c>
      <c r="B18" s="1">
        <v>17</v>
      </c>
      <c r="C18" s="1" t="s">
        <v>55</v>
      </c>
      <c r="D18" s="1">
        <v>35</v>
      </c>
      <c r="E18" s="1" t="s">
        <v>56</v>
      </c>
      <c r="F18" s="2">
        <v>64500</v>
      </c>
      <c r="G18">
        <f>IFERROR(VLOOKUP(A18, '2023.11.19'!$A$2:$F$21, 6, FALSE), "")</f>
        <v>64500</v>
      </c>
      <c r="H18" t="str">
        <f t="shared" si="0"/>
        <v>Good</v>
      </c>
      <c r="I18" t="str">
        <f t="shared" si="1"/>
        <v>Good</v>
      </c>
    </row>
    <row r="19" spans="1:9" x14ac:dyDescent="0.2">
      <c r="A19" t="s">
        <v>57</v>
      </c>
      <c r="B19" s="1">
        <v>18</v>
      </c>
      <c r="C19" s="1" t="s">
        <v>58</v>
      </c>
      <c r="D19" s="1">
        <v>31</v>
      </c>
      <c r="E19" s="1" t="s">
        <v>59</v>
      </c>
      <c r="F19" s="2">
        <v>61800</v>
      </c>
      <c r="G19">
        <f>IFERROR(VLOOKUP(A19, '2023.11.19'!$A$2:$F$21, 6, FALSE), "")</f>
        <v>61800</v>
      </c>
      <c r="H19" t="str">
        <f t="shared" si="0"/>
        <v>Good</v>
      </c>
      <c r="I19" t="str">
        <f t="shared" si="1"/>
        <v>Good</v>
      </c>
    </row>
    <row r="20" spans="1:9" x14ac:dyDescent="0.2">
      <c r="A20" t="s">
        <v>60</v>
      </c>
      <c r="B20" s="1">
        <v>19</v>
      </c>
      <c r="C20" s="1" t="s">
        <v>61</v>
      </c>
      <c r="D20" s="1">
        <v>33</v>
      </c>
      <c r="E20" s="1" t="s">
        <v>62</v>
      </c>
      <c r="F20" s="2">
        <v>63200</v>
      </c>
      <c r="G20">
        <f>IFERROR(VLOOKUP(A20, '2023.11.19'!$A$2:$F$21, 6, FALSE), "")</f>
        <v>63200</v>
      </c>
      <c r="H20" t="str">
        <f t="shared" si="0"/>
        <v>Good</v>
      </c>
      <c r="I20" t="str">
        <f t="shared" si="1"/>
        <v>Good</v>
      </c>
    </row>
    <row r="21" spans="1:9" x14ac:dyDescent="0.2">
      <c r="A21" t="s">
        <v>63</v>
      </c>
      <c r="B21" s="1">
        <v>20</v>
      </c>
      <c r="C21" s="1" t="s">
        <v>64</v>
      </c>
      <c r="D21" s="1">
        <v>28</v>
      </c>
      <c r="E21" s="1" t="s">
        <v>65</v>
      </c>
      <c r="F21" s="2">
        <v>56500</v>
      </c>
      <c r="G21" t="str">
        <f>IFERROR(VLOOKUP(A21, '2023.11.19'!$A$2:$F$21, 6, FALSE), "")</f>
        <v/>
      </c>
      <c r="H21" t="str">
        <f t="shared" si="0"/>
        <v>Good</v>
      </c>
      <c r="I21" t="str">
        <f t="shared" si="1"/>
        <v>Good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48EF2-693B-4221-B42B-06DE23424B73}">
  <sheetPr codeName="Sheet24"/>
  <dimension ref="A1:A2"/>
  <sheetViews>
    <sheetView workbookViewId="0"/>
  </sheetViews>
  <sheetFormatPr defaultRowHeight="12.75" x14ac:dyDescent="0.2"/>
  <sheetData>
    <row r="1" spans="1:1" x14ac:dyDescent="0.2">
      <c r="A1" t="s">
        <v>51</v>
      </c>
    </row>
    <row r="2" spans="1:1" x14ac:dyDescent="0.2">
      <c r="A2" t="s">
        <v>63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83731-176A-4F2F-9B73-40F5144F17BF}">
  <sheetPr codeName="Sheet25"/>
  <dimension ref="A1"/>
  <sheetViews>
    <sheetView workbookViewId="0">
      <selection activeCell="E27" sqref="E27"/>
    </sheetView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2023.10.11</vt:lpstr>
      <vt:lpstr>2023.11.19</vt:lpstr>
      <vt:lpstr>Analysis</vt:lpstr>
      <vt:lpstr>variance_removed</vt:lpstr>
      <vt:lpstr>variance_new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2023-12-18T20:38:07Z</dcterms:created>
  <dcterms:modified xsi:type="dcterms:W3CDTF">2023-12-20T14:21:29Z</dcterms:modified>
</cp:coreProperties>
</file>